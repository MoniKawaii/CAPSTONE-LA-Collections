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ss\Desktop\CAPSTONE-LA-Collections\data\"/>
    </mc:Choice>
  </mc:AlternateContent>
  <xr:revisionPtr revIDLastSave="0" documentId="8_{E7E57797-9A21-4E76-8FAB-BF028F2C65F0}" xr6:coauthVersionLast="47" xr6:coauthVersionMax="47" xr10:uidLastSave="{00000000-0000-0000-0000-000000000000}"/>
  <bookViews>
    <workbookView xWindow="768" yWindow="768" windowWidth="18816" windowHeight="10872" xr2:uid="{E8F14610-5AB3-4945-9CA1-B41C67CCD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1" l="1"/>
  <c r="M25" i="1"/>
  <c r="M26" i="1"/>
  <c r="M27" i="1"/>
  <c r="M28" i="1"/>
  <c r="M29" i="1"/>
  <c r="M30" i="1"/>
  <c r="M31" i="1"/>
  <c r="M32" i="1"/>
  <c r="M33" i="1"/>
  <c r="M34" i="1"/>
  <c r="M23" i="1"/>
  <c r="J24" i="1"/>
  <c r="J25" i="1"/>
  <c r="J26" i="1"/>
  <c r="J27" i="1"/>
  <c r="J28" i="1"/>
  <c r="J29" i="1"/>
  <c r="J30" i="1"/>
  <c r="J31" i="1"/>
  <c r="J32" i="1"/>
  <c r="J33" i="1"/>
  <c r="J34" i="1"/>
  <c r="J23" i="1"/>
</calcChain>
</file>

<file path=xl/sharedStrings.xml><?xml version="1.0" encoding="utf-8"?>
<sst xmlns="http://schemas.openxmlformats.org/spreadsheetml/2006/main" count="22" uniqueCount="18">
  <si>
    <t>LAZADA CROSS CHECK</t>
  </si>
  <si>
    <t>FROM DB</t>
  </si>
  <si>
    <t>FROM CSV</t>
  </si>
  <si>
    <t>order_year</t>
  </si>
  <si>
    <t>gross revenue</t>
  </si>
  <si>
    <t>net sales</t>
  </si>
  <si>
    <t>orders</t>
  </si>
  <si>
    <t>date</t>
  </si>
  <si>
    <t>gross</t>
  </si>
  <si>
    <t>net</t>
  </si>
  <si>
    <t>order_month_start</t>
  </si>
  <si>
    <t>orders db</t>
  </si>
  <si>
    <t>orders csv</t>
  </si>
  <si>
    <t xml:space="preserve">gross db </t>
  </si>
  <si>
    <t>gross csv</t>
  </si>
  <si>
    <t>missing orders</t>
  </si>
  <si>
    <t>missing gross</t>
  </si>
  <si>
    <t>COMPARE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</si>
</sst>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71" formatCode="&quot;₱&quot;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宋体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4" fontId="0" fillId="0" borderId="1" xfId="0" applyNumberFormat="1" applyBorder="1"/>
    <xf numFmtId="0" fontId="2" fillId="0" borderId="0" xfId="0" applyFont="1" applyAlignment="1">
      <alignment horizontal="left" vertical="center"/>
    </xf>
    <xf numFmtId="165" fontId="0" fillId="0" borderId="0" xfId="0" applyNumberFormat="1"/>
    <xf numFmtId="165" fontId="0" fillId="0" borderId="1" xfId="0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left" vertical="center"/>
    </xf>
    <xf numFmtId="171" fontId="3" fillId="0" borderId="1" xfId="1" applyNumberFormat="1" applyFont="1" applyFill="1" applyBorder="1" applyAlignment="1">
      <alignment horizontal="right" vertical="center"/>
    </xf>
    <xf numFmtId="0" fontId="0" fillId="0" borderId="1" xfId="0" applyFont="1" applyBorder="1"/>
    <xf numFmtId="165" fontId="0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65" fontId="0" fillId="2" borderId="1" xfId="0" applyNumberFormat="1" applyFill="1" applyBorder="1"/>
    <xf numFmtId="165" fontId="0" fillId="0" borderId="1" xfId="0" applyNumberFormat="1" applyBorder="1"/>
    <xf numFmtId="165" fontId="1" fillId="0" borderId="0" xfId="0" applyNumberFormat="1" applyFont="1"/>
    <xf numFmtId="1" fontId="0" fillId="0" borderId="1" xfId="0" applyNumberFormat="1" applyBorder="1"/>
    <xf numFmtId="171" fontId="0" fillId="0" borderId="1" xfId="0" applyNumberFormat="1" applyBorder="1"/>
    <xf numFmtId="4" fontId="3" fillId="0" borderId="1" xfId="1" applyNumberFormat="1" applyFont="1" applyFill="1" applyBorder="1" applyAlignment="1">
      <alignment horizontal="right" vertical="center"/>
    </xf>
    <xf numFmtId="0" fontId="0" fillId="3" borderId="1" xfId="0" applyFill="1" applyBorder="1"/>
  </cellXfs>
  <cellStyles count="2">
    <cellStyle name="Normal" xfId="0" builtinId="0"/>
    <cellStyle name="Normal 2" xfId="1" xr:uid="{3B495634-8A84-4C61-93AC-6438A2D02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202A-CE2F-48C9-AAC7-091B44FA9C5E}">
  <dimension ref="A1:M47"/>
  <sheetViews>
    <sheetView tabSelected="1" topLeftCell="C18" workbookViewId="0">
      <selection activeCell="B45" sqref="B45"/>
    </sheetView>
  </sheetViews>
  <sheetFormatPr defaultRowHeight="14.4"/>
  <cols>
    <col min="1" max="1" width="18.109375" customWidth="1"/>
    <col min="2" max="2" width="14.5546875" customWidth="1"/>
    <col min="3" max="3" width="14.44140625" customWidth="1"/>
    <col min="4" max="4" width="12.5546875" customWidth="1"/>
    <col min="6" max="6" width="13.6640625" customWidth="1"/>
    <col min="7" max="7" width="11.33203125" customWidth="1"/>
    <col min="8" max="8" width="11.44140625" customWidth="1"/>
    <col min="9" max="9" width="14.33203125" customWidth="1"/>
    <col min="10" max="10" width="14.21875" customWidth="1"/>
    <col min="11" max="11" width="15" customWidth="1"/>
    <col min="12" max="12" width="15.33203125" customWidth="1"/>
    <col min="13" max="13" width="16.21875" customWidth="1"/>
  </cols>
  <sheetData>
    <row r="1" spans="1:11">
      <c r="A1" t="s">
        <v>0</v>
      </c>
    </row>
    <row r="3" spans="1:11">
      <c r="A3" s="1" t="s">
        <v>1</v>
      </c>
      <c r="B3" s="1"/>
      <c r="C3" s="1"/>
      <c r="D3" s="1"/>
      <c r="G3" s="1" t="s">
        <v>2</v>
      </c>
      <c r="H3" s="2"/>
      <c r="I3" s="2"/>
      <c r="J3" s="2"/>
      <c r="K3" s="2"/>
    </row>
    <row r="4" spans="1:11">
      <c r="A4" s="4" t="s">
        <v>3</v>
      </c>
      <c r="B4" s="4" t="s">
        <v>6</v>
      </c>
      <c r="C4" s="4" t="s">
        <v>4</v>
      </c>
      <c r="D4" s="4" t="s">
        <v>5</v>
      </c>
      <c r="G4" s="4" t="s">
        <v>7</v>
      </c>
      <c r="H4" s="4" t="s">
        <v>6</v>
      </c>
      <c r="I4" s="4" t="s">
        <v>8</v>
      </c>
      <c r="J4" s="4" t="s">
        <v>9</v>
      </c>
    </row>
    <row r="5" spans="1:11">
      <c r="A5" s="3">
        <v>2022</v>
      </c>
      <c r="B5" s="5">
        <v>122</v>
      </c>
      <c r="C5" s="5">
        <v>52500</v>
      </c>
      <c r="D5" s="5">
        <v>51033.57</v>
      </c>
      <c r="G5" s="12">
        <v>45536</v>
      </c>
      <c r="H5" s="9">
        <v>318</v>
      </c>
      <c r="I5" s="10">
        <v>158466.87</v>
      </c>
      <c r="J5" s="11"/>
    </row>
    <row r="6" spans="1:11">
      <c r="A6" s="3">
        <v>2023</v>
      </c>
      <c r="B6" s="5">
        <v>2495</v>
      </c>
      <c r="C6" s="5">
        <v>1152613.6100000001</v>
      </c>
      <c r="D6" s="5">
        <v>1081126.1000000001</v>
      </c>
      <c r="G6" s="12">
        <v>45566</v>
      </c>
      <c r="H6" s="9">
        <v>206</v>
      </c>
      <c r="I6" s="10">
        <v>120224.86</v>
      </c>
      <c r="J6" s="11"/>
    </row>
    <row r="7" spans="1:11">
      <c r="A7" s="3">
        <v>2024</v>
      </c>
      <c r="B7" s="5">
        <v>3005</v>
      </c>
      <c r="C7" s="5">
        <v>1454774.66</v>
      </c>
      <c r="D7" s="5">
        <v>1372814.98</v>
      </c>
      <c r="G7" s="13">
        <v>45597</v>
      </c>
      <c r="H7" s="9">
        <v>318</v>
      </c>
      <c r="I7" s="10">
        <v>165197.46</v>
      </c>
      <c r="J7" s="11"/>
    </row>
    <row r="8" spans="1:11">
      <c r="A8" s="3">
        <v>2025</v>
      </c>
      <c r="B8" s="5">
        <v>2224</v>
      </c>
      <c r="C8" s="5">
        <v>1290654.51</v>
      </c>
      <c r="D8" s="5">
        <v>1194621.32</v>
      </c>
      <c r="G8" s="13">
        <v>45627</v>
      </c>
      <c r="H8" s="9">
        <v>382</v>
      </c>
      <c r="I8" s="10">
        <v>213399.72</v>
      </c>
      <c r="J8" s="11"/>
    </row>
    <row r="9" spans="1:11">
      <c r="G9" s="13">
        <v>45658</v>
      </c>
      <c r="H9" s="9">
        <v>225</v>
      </c>
      <c r="I9" s="10">
        <v>139664.9</v>
      </c>
      <c r="J9" s="11"/>
    </row>
    <row r="10" spans="1:11">
      <c r="A10" s="14" t="s">
        <v>10</v>
      </c>
      <c r="B10" s="4" t="s">
        <v>6</v>
      </c>
      <c r="C10" s="4" t="s">
        <v>8</v>
      </c>
      <c r="G10" s="13">
        <v>45689</v>
      </c>
      <c r="H10" s="9">
        <v>341</v>
      </c>
      <c r="I10" s="10">
        <v>177472.06</v>
      </c>
      <c r="J10" s="11"/>
    </row>
    <row r="11" spans="1:11">
      <c r="A11" s="15">
        <v>44835</v>
      </c>
      <c r="B11" s="3">
        <v>40</v>
      </c>
      <c r="C11" s="3">
        <v>17150</v>
      </c>
      <c r="G11" s="13">
        <v>45717</v>
      </c>
      <c r="H11" s="9">
        <v>231</v>
      </c>
      <c r="I11" s="10">
        <v>156042.45000000001</v>
      </c>
      <c r="J11" s="11"/>
    </row>
    <row r="12" spans="1:11">
      <c r="A12" s="15">
        <v>44866</v>
      </c>
      <c r="B12" s="3">
        <v>68</v>
      </c>
      <c r="C12" s="3">
        <v>30100</v>
      </c>
      <c r="G12" s="13">
        <v>45748</v>
      </c>
      <c r="H12" s="9">
        <v>183</v>
      </c>
      <c r="I12" s="10">
        <v>122213.13</v>
      </c>
      <c r="J12" s="11"/>
    </row>
    <row r="13" spans="1:11">
      <c r="A13" s="15">
        <v>44896</v>
      </c>
      <c r="B13" s="3">
        <v>14</v>
      </c>
      <c r="C13" s="3">
        <v>5250</v>
      </c>
      <c r="G13" s="8">
        <v>45778</v>
      </c>
      <c r="H13" s="9">
        <v>261</v>
      </c>
      <c r="I13" s="10">
        <v>149140.9</v>
      </c>
      <c r="J13" s="11"/>
    </row>
    <row r="14" spans="1:11">
      <c r="A14" s="15">
        <v>44927</v>
      </c>
      <c r="B14" s="3">
        <v>55</v>
      </c>
      <c r="C14" s="3">
        <v>23572.5</v>
      </c>
      <c r="G14" s="12">
        <v>45809</v>
      </c>
      <c r="H14" s="9">
        <v>262</v>
      </c>
      <c r="I14" s="10">
        <v>132515.03</v>
      </c>
      <c r="J14" s="11"/>
    </row>
    <row r="15" spans="1:11">
      <c r="A15" s="15">
        <v>44958</v>
      </c>
      <c r="B15" s="3">
        <v>112</v>
      </c>
      <c r="C15" s="3">
        <v>50690</v>
      </c>
      <c r="G15" s="12">
        <v>45839</v>
      </c>
      <c r="H15" s="9">
        <v>236</v>
      </c>
      <c r="I15" s="10">
        <v>132787.39000000001</v>
      </c>
      <c r="J15" s="11"/>
    </row>
    <row r="16" spans="1:11">
      <c r="A16" s="15">
        <v>44986</v>
      </c>
      <c r="B16" s="3">
        <v>153</v>
      </c>
      <c r="C16" s="3">
        <v>67194.710000000006</v>
      </c>
      <c r="G16" s="12">
        <v>45870</v>
      </c>
      <c r="H16" s="9">
        <v>322</v>
      </c>
      <c r="I16" s="10">
        <v>172058.57</v>
      </c>
      <c r="J16" s="11"/>
    </row>
    <row r="17" spans="1:13">
      <c r="A17" s="15">
        <v>45017</v>
      </c>
      <c r="B17" s="3">
        <v>102</v>
      </c>
      <c r="C17" s="3">
        <v>46120</v>
      </c>
      <c r="F17" s="7"/>
      <c r="G17" s="6"/>
    </row>
    <row r="18" spans="1:13">
      <c r="A18" s="15">
        <v>45047</v>
      </c>
      <c r="B18" s="3">
        <v>224</v>
      </c>
      <c r="C18" s="3">
        <v>97719.12</v>
      </c>
      <c r="F18" s="7"/>
    </row>
    <row r="19" spans="1:13">
      <c r="A19" s="15">
        <v>45078</v>
      </c>
      <c r="B19" s="3">
        <v>239</v>
      </c>
      <c r="C19" s="3">
        <v>105923.45</v>
      </c>
      <c r="F19" s="7"/>
    </row>
    <row r="20" spans="1:13">
      <c r="A20" s="15">
        <v>45108</v>
      </c>
      <c r="B20" s="3">
        <v>219</v>
      </c>
      <c r="C20" s="3">
        <v>106710</v>
      </c>
      <c r="F20" s="7"/>
    </row>
    <row r="21" spans="1:13">
      <c r="A21" s="15">
        <v>45139</v>
      </c>
      <c r="B21" s="3">
        <v>190</v>
      </c>
      <c r="C21" s="3">
        <v>88130</v>
      </c>
      <c r="G21" s="16" t="s">
        <v>17</v>
      </c>
    </row>
    <row r="22" spans="1:13">
      <c r="A22" s="15">
        <v>45170</v>
      </c>
      <c r="B22" s="3">
        <v>282</v>
      </c>
      <c r="C22" s="3">
        <v>129610.89</v>
      </c>
      <c r="G22" s="20" t="s">
        <v>7</v>
      </c>
      <c r="H22" s="20" t="s">
        <v>11</v>
      </c>
      <c r="I22" s="20" t="s">
        <v>12</v>
      </c>
      <c r="J22" s="20" t="s">
        <v>15</v>
      </c>
      <c r="K22" s="20" t="s">
        <v>13</v>
      </c>
      <c r="L22" s="20" t="s">
        <v>14</v>
      </c>
      <c r="M22" s="20" t="s">
        <v>16</v>
      </c>
    </row>
    <row r="23" spans="1:13">
      <c r="A23" s="15">
        <v>45200</v>
      </c>
      <c r="B23" s="3">
        <v>320</v>
      </c>
      <c r="C23" s="3">
        <v>140390</v>
      </c>
      <c r="G23" s="12">
        <v>45536</v>
      </c>
      <c r="H23" s="3">
        <v>263</v>
      </c>
      <c r="I23" s="9">
        <v>318</v>
      </c>
      <c r="J23" s="17">
        <f>I23-H23</f>
        <v>55</v>
      </c>
      <c r="K23" s="5">
        <v>117939.08</v>
      </c>
      <c r="L23" s="19">
        <v>158466.87</v>
      </c>
      <c r="M23" s="18">
        <f>L23-K23</f>
        <v>40527.789999999994</v>
      </c>
    </row>
    <row r="24" spans="1:13">
      <c r="A24" s="15">
        <v>45231</v>
      </c>
      <c r="B24" s="3">
        <v>260</v>
      </c>
      <c r="C24" s="3">
        <v>140694.85999999999</v>
      </c>
      <c r="G24" s="12">
        <v>45566</v>
      </c>
      <c r="H24" s="3">
        <v>188</v>
      </c>
      <c r="I24" s="9">
        <v>206</v>
      </c>
      <c r="J24" s="17">
        <f t="shared" ref="J24:J34" si="0">I24-H24</f>
        <v>18</v>
      </c>
      <c r="K24" s="5">
        <v>97907.56</v>
      </c>
      <c r="L24" s="19">
        <v>120224.86</v>
      </c>
      <c r="M24" s="18">
        <f t="shared" ref="M24:M34" si="1">L24-K24</f>
        <v>22317.300000000003</v>
      </c>
    </row>
    <row r="25" spans="1:13">
      <c r="A25" s="15">
        <v>45261</v>
      </c>
      <c r="B25" s="3">
        <v>339</v>
      </c>
      <c r="C25" s="3">
        <v>155858.07999999999</v>
      </c>
      <c r="G25" s="13">
        <v>45597</v>
      </c>
      <c r="H25" s="3">
        <v>280</v>
      </c>
      <c r="I25" s="9">
        <v>318</v>
      </c>
      <c r="J25" s="17">
        <f t="shared" si="0"/>
        <v>38</v>
      </c>
      <c r="K25" s="5">
        <v>131272.44</v>
      </c>
      <c r="L25" s="19">
        <v>165197.46</v>
      </c>
      <c r="M25" s="18">
        <f t="shared" si="1"/>
        <v>33925.01999999999</v>
      </c>
    </row>
    <row r="26" spans="1:13">
      <c r="A26" s="15">
        <v>45292</v>
      </c>
      <c r="B26" s="3">
        <v>267</v>
      </c>
      <c r="C26" s="3">
        <v>130639.17</v>
      </c>
      <c r="G26" s="13">
        <v>45627</v>
      </c>
      <c r="H26" s="3">
        <v>332</v>
      </c>
      <c r="I26" s="9">
        <v>382</v>
      </c>
      <c r="J26" s="17">
        <f t="shared" si="0"/>
        <v>50</v>
      </c>
      <c r="K26" s="5">
        <v>173446.13</v>
      </c>
      <c r="L26" s="19">
        <v>213399.72</v>
      </c>
      <c r="M26" s="18">
        <f t="shared" si="1"/>
        <v>39953.589999999997</v>
      </c>
    </row>
    <row r="27" spans="1:13">
      <c r="A27" s="15">
        <v>45323</v>
      </c>
      <c r="B27" s="3">
        <v>197</v>
      </c>
      <c r="C27" s="3">
        <v>99900</v>
      </c>
      <c r="G27" s="13">
        <v>45658</v>
      </c>
      <c r="H27" s="3">
        <v>215</v>
      </c>
      <c r="I27" s="9">
        <v>225</v>
      </c>
      <c r="J27" s="17">
        <f t="shared" si="0"/>
        <v>10</v>
      </c>
      <c r="K27" s="5">
        <v>127350</v>
      </c>
      <c r="L27" s="19">
        <v>139664.9</v>
      </c>
      <c r="M27" s="18">
        <f t="shared" si="1"/>
        <v>12314.899999999994</v>
      </c>
    </row>
    <row r="28" spans="1:13">
      <c r="A28" s="15">
        <v>45352</v>
      </c>
      <c r="B28" s="3">
        <v>189</v>
      </c>
      <c r="C28" s="3">
        <v>102464.51</v>
      </c>
      <c r="G28" s="13">
        <v>45689</v>
      </c>
      <c r="H28" s="3">
        <v>330</v>
      </c>
      <c r="I28" s="9">
        <v>341</v>
      </c>
      <c r="J28" s="17">
        <f t="shared" si="0"/>
        <v>11</v>
      </c>
      <c r="K28" s="5">
        <v>161218.42000000001</v>
      </c>
      <c r="L28" s="19">
        <v>177472.06</v>
      </c>
      <c r="M28" s="18">
        <f t="shared" si="1"/>
        <v>16253.639999999985</v>
      </c>
    </row>
    <row r="29" spans="1:13">
      <c r="A29" s="15">
        <v>45383</v>
      </c>
      <c r="B29" s="3">
        <v>351</v>
      </c>
      <c r="C29" s="3">
        <v>151670.57999999999</v>
      </c>
      <c r="G29" s="13">
        <v>45717</v>
      </c>
      <c r="H29" s="3">
        <v>233</v>
      </c>
      <c r="I29" s="9">
        <v>231</v>
      </c>
      <c r="J29" s="17">
        <f t="shared" si="0"/>
        <v>-2</v>
      </c>
      <c r="K29" s="5">
        <v>143488.85999999999</v>
      </c>
      <c r="L29" s="19">
        <v>156042.45000000001</v>
      </c>
      <c r="M29" s="18">
        <f t="shared" si="1"/>
        <v>12553.590000000026</v>
      </c>
    </row>
    <row r="30" spans="1:13">
      <c r="A30" s="15">
        <v>45413</v>
      </c>
      <c r="B30" s="3">
        <v>225</v>
      </c>
      <c r="C30" s="3">
        <v>117191.05</v>
      </c>
      <c r="G30" s="13">
        <v>45748</v>
      </c>
      <c r="H30" s="3">
        <v>176</v>
      </c>
      <c r="I30" s="9">
        <v>183</v>
      </c>
      <c r="J30" s="17">
        <f t="shared" si="0"/>
        <v>7</v>
      </c>
      <c r="K30" s="5">
        <v>112016.56</v>
      </c>
      <c r="L30" s="19">
        <v>122213.13</v>
      </c>
      <c r="M30" s="18">
        <f t="shared" si="1"/>
        <v>10196.570000000007</v>
      </c>
    </row>
    <row r="31" spans="1:13">
      <c r="A31" s="15">
        <v>45444</v>
      </c>
      <c r="B31" s="3">
        <v>215</v>
      </c>
      <c r="C31" s="3">
        <v>95842.04</v>
      </c>
      <c r="G31" s="8">
        <v>45778</v>
      </c>
      <c r="H31" s="3">
        <v>237</v>
      </c>
      <c r="I31" s="9">
        <v>261</v>
      </c>
      <c r="J31" s="17">
        <f t="shared" si="0"/>
        <v>24</v>
      </c>
      <c r="K31" s="5">
        <v>131287.16</v>
      </c>
      <c r="L31" s="19">
        <v>149140.9</v>
      </c>
      <c r="M31" s="18">
        <f t="shared" si="1"/>
        <v>17853.739999999991</v>
      </c>
    </row>
    <row r="32" spans="1:13">
      <c r="A32" s="15">
        <v>45474</v>
      </c>
      <c r="B32" s="3">
        <v>215</v>
      </c>
      <c r="C32" s="3">
        <v>101496.85</v>
      </c>
      <c r="G32" s="12">
        <v>45809</v>
      </c>
      <c r="H32" s="3">
        <v>219</v>
      </c>
      <c r="I32" s="9">
        <v>262</v>
      </c>
      <c r="J32" s="17">
        <f t="shared" si="0"/>
        <v>43</v>
      </c>
      <c r="K32" s="5">
        <v>123135.51</v>
      </c>
      <c r="L32" s="19">
        <v>132515.03</v>
      </c>
      <c r="M32" s="18">
        <f t="shared" si="1"/>
        <v>9379.5200000000041</v>
      </c>
    </row>
    <row r="33" spans="1:13">
      <c r="A33" s="15">
        <v>45505</v>
      </c>
      <c r="B33" s="3">
        <v>283</v>
      </c>
      <c r="C33" s="3">
        <v>135005.25</v>
      </c>
      <c r="G33" s="12">
        <v>45839</v>
      </c>
      <c r="H33" s="3">
        <v>247</v>
      </c>
      <c r="I33" s="9">
        <v>236</v>
      </c>
      <c r="J33" s="17">
        <f t="shared" si="0"/>
        <v>-11</v>
      </c>
      <c r="K33" s="5">
        <v>152016</v>
      </c>
      <c r="L33" s="19">
        <v>132787.39000000001</v>
      </c>
      <c r="M33" s="18">
        <f t="shared" si="1"/>
        <v>-19228.609999999986</v>
      </c>
    </row>
    <row r="34" spans="1:13">
      <c r="A34" s="15">
        <v>45536</v>
      </c>
      <c r="B34" s="3">
        <v>263</v>
      </c>
      <c r="C34" s="3">
        <v>117939.08</v>
      </c>
      <c r="G34" s="12">
        <v>45870</v>
      </c>
      <c r="H34" s="3">
        <v>222</v>
      </c>
      <c r="I34" s="9">
        <v>322</v>
      </c>
      <c r="J34" s="17">
        <f t="shared" si="0"/>
        <v>100</v>
      </c>
      <c r="K34" s="5">
        <v>131457</v>
      </c>
      <c r="L34" s="19">
        <v>172058.57</v>
      </c>
      <c r="M34" s="18">
        <f t="shared" si="1"/>
        <v>40601.570000000007</v>
      </c>
    </row>
    <row r="35" spans="1:13">
      <c r="A35" s="15">
        <v>45566</v>
      </c>
      <c r="B35" s="3">
        <v>188</v>
      </c>
      <c r="C35" s="3">
        <v>97907.56</v>
      </c>
    </row>
    <row r="36" spans="1:13">
      <c r="A36" s="15">
        <v>45597</v>
      </c>
      <c r="B36" s="3">
        <v>280</v>
      </c>
      <c r="C36" s="3">
        <v>131272.44</v>
      </c>
    </row>
    <row r="37" spans="1:13">
      <c r="A37" s="15">
        <v>45627</v>
      </c>
      <c r="B37" s="3">
        <v>332</v>
      </c>
      <c r="C37" s="3">
        <v>173446.13</v>
      </c>
    </row>
    <row r="38" spans="1:13">
      <c r="A38" s="15">
        <v>45658</v>
      </c>
      <c r="B38" s="3">
        <v>215</v>
      </c>
      <c r="C38" s="3">
        <v>127350</v>
      </c>
    </row>
    <row r="39" spans="1:13">
      <c r="A39" s="15">
        <v>45689</v>
      </c>
      <c r="B39" s="3">
        <v>330</v>
      </c>
      <c r="C39" s="3">
        <v>161218.42000000001</v>
      </c>
    </row>
    <row r="40" spans="1:13">
      <c r="A40" s="15">
        <v>45717</v>
      </c>
      <c r="B40" s="3">
        <v>233</v>
      </c>
      <c r="C40" s="3">
        <v>143488.85999999999</v>
      </c>
    </row>
    <row r="41" spans="1:13">
      <c r="A41" s="15">
        <v>45748</v>
      </c>
      <c r="B41" s="3">
        <v>176</v>
      </c>
      <c r="C41" s="3">
        <v>112016.56</v>
      </c>
    </row>
    <row r="42" spans="1:13">
      <c r="A42" s="15">
        <v>45778</v>
      </c>
      <c r="B42" s="3">
        <v>237</v>
      </c>
      <c r="C42" s="3">
        <v>131287.16</v>
      </c>
    </row>
    <row r="43" spans="1:13">
      <c r="A43" s="15">
        <v>45809</v>
      </c>
      <c r="B43" s="3">
        <v>219</v>
      </c>
      <c r="C43" s="3">
        <v>123135.51</v>
      </c>
    </row>
    <row r="44" spans="1:13">
      <c r="A44" s="15">
        <v>45839</v>
      </c>
      <c r="B44" s="3">
        <v>247</v>
      </c>
      <c r="C44" s="3">
        <v>152016</v>
      </c>
    </row>
    <row r="45" spans="1:13">
      <c r="A45" s="15">
        <v>45870</v>
      </c>
      <c r="B45" s="3">
        <v>222</v>
      </c>
      <c r="C45" s="3">
        <v>131457</v>
      </c>
    </row>
    <row r="46" spans="1:13">
      <c r="A46" s="15">
        <v>45901</v>
      </c>
      <c r="B46" s="3">
        <v>194</v>
      </c>
      <c r="C46" s="3">
        <v>120688</v>
      </c>
    </row>
    <row r="47" spans="1:13">
      <c r="A47" s="15">
        <v>45931</v>
      </c>
      <c r="B47" s="3">
        <v>151</v>
      </c>
      <c r="C47" s="3">
        <v>87997</v>
      </c>
    </row>
  </sheetData>
  <sortState xmlns:xlrd2="http://schemas.microsoft.com/office/spreadsheetml/2017/richdata2" ref="G5:I16">
    <sortCondition ref="G5:G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Elona</dc:creator>
  <cp:lastModifiedBy>Alyssa Elona</cp:lastModifiedBy>
  <dcterms:created xsi:type="dcterms:W3CDTF">2025-11-11T08:51:22Z</dcterms:created>
  <dcterms:modified xsi:type="dcterms:W3CDTF">2025-11-11T09:46:38Z</dcterms:modified>
</cp:coreProperties>
</file>